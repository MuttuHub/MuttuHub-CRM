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Instrucciones" state="visible" r:id="rId4"/>
    <sheet sheetId="2" name="2. Proyecto" state="visible" r:id="rId5"/>
    <sheet sheetId="3" name="3. Objetivos" state="visible" r:id="rId6"/>
    <sheet sheetId="4" name="4. Actividades" state="visible" r:id="rId7"/>
    <sheet sheetId="5" name="5. Entregables" state="visible" r:id="rId8"/>
    <sheet sheetId="6" name="6. Indicadores" state="visible" r:id="rId9"/>
    <sheet sheetId="7" name="7. Presupuesto" state="visible" r:id="rId10"/>
    <sheet sheetId="8" name="8. Programación" state="visible" r:id="rId11"/>
    <sheet sheetId="9" name="9. Catálogos" state="visible" r:id="rId12"/>
  </sheets>
  <definedNames>
    <definedName name="Rubros">'9. Catálogos'!$A$2:$A$16</definedName>
    <definedName name="Lineas">'9. Catálogos'!$B$2:$B$9</definedName>
    <definedName name="Municipios">'9. Catálogos'!$C$2:$C$8</definedName>
    <definedName name="Unidades">'9. Catálogos'!$D$2:$D$16</definedName>
  </definedNames>
  <calcPr calcId="171027"/>
</workbook>
</file>

<file path=xl/sharedStrings.xml><?xml version="1.0" encoding="utf-8"?>
<sst xmlns="http://schemas.openxmlformats.org/spreadsheetml/2006/main" count="334" uniqueCount="214">
  <si>
    <t>Plantilla de importación de proyectos — PRY-2026-002</t>
  </si>
  <si>
    <t>2026.1</t>
  </si>
  <si>
    <t>Cómo diligenciar esta plantilla</t>
  </si>
  <si>
    <t>1. No cambies los nombres de las hojas ni los encabezados de la fila 1.</t>
  </si>
  <si>
    <t>2. Los códigos deben ser únicos dentro de cada hoja (3 a 6).</t>
  </si>
  <si>
    <t>3. Usa punto y coma (;) para separar varias líneas estratégicas o municipios.</t>
  </si>
  <si>
    <t>4. Las semanas van de 1 al total de semanas del proyecto.</t>
  </si>
  <si>
    <t>5. Los montos aceptan formato colombiano (59.500.000 o 1.440.000,50).</t>
  </si>
  <si>
    <t>6. Revisa la hoja 9. Catálogos para los valores permitidos.</t>
  </si>
  <si>
    <t>Campo</t>
  </si>
  <si>
    <t>Valor</t>
  </si>
  <si>
    <t>Código</t>
  </si>
  <si>
    <t>PRY-2026-002</t>
  </si>
  <si>
    <t>Cliente</t>
  </si>
  <si>
    <t>Agencia de Cooperación Nórdica</t>
  </si>
  <si>
    <t>Líneas estratégicas</t>
  </si>
  <si>
    <t>LE02 - Emprendimiento; LE03 - Productividad</t>
  </si>
  <si>
    <t>Municipios</t>
  </si>
  <si>
    <t>Medellín (Antioquia); Barranquilla (Atlántico)</t>
  </si>
  <si>
    <t>Fecha de inicio</t>
  </si>
  <si>
    <t>Fecha de fin</t>
  </si>
  <si>
    <t>Valor total</t>
  </si>
  <si>
    <t>Meta de beneficiarios</t>
  </si>
  <si>
    <t>Descripción</t>
  </si>
  <si>
    <t>O1</t>
  </si>
  <si>
    <t>Formalizar bajo la figura jurídica idónea a las unidades productivas, estructurando un modelo de gobernanza, roles y operación técnica para el uso eficiente y compartido de la maquinaria.</t>
  </si>
  <si>
    <t>O2</t>
  </si>
  <si>
    <t>Desarrollar el modelo de negocio, la planeación financiera y la identidad de marca de cada nodo asociativo, consolidando un portafolio de servicios B2B competitivo y herramientas de gestión administrativa básica</t>
  </si>
  <si>
    <t>O3</t>
  </si>
  <si>
    <t>Implementar una estrategia de relacionamiento empresarial y posicionamiento comercial que facilite la generación de alianzas y oportunidades de mercado para las asociaciones.</t>
  </si>
  <si>
    <t>Código objetivo</t>
  </si>
  <si>
    <t>Nombre</t>
  </si>
  <si>
    <t>Semana inicio</t>
  </si>
  <si>
    <t>Semana fin</t>
  </si>
  <si>
    <t>Responsable (correo)</t>
  </si>
  <si>
    <t>Peso (opcional)</t>
  </si>
  <si>
    <t>A1.1</t>
  </si>
  <si>
    <t>Levantar información básica para la construcción de fichas de línea base de las asociaciones y de las unidades productivas participantes.</t>
  </si>
  <si>
    <t>coordinador@demo.muttuhub.local</t>
  </si>
  <si>
    <t>A1.2</t>
  </si>
  <si>
    <t>Desarrollar la jornada de visión compartida y diagnóstico del clima relacional.</t>
  </si>
  <si>
    <t>A1.3</t>
  </si>
  <si>
    <t>Definir la arquitectura legal idónea para los nodos territoriales.</t>
  </si>
  <si>
    <t>A1.4</t>
  </si>
  <si>
    <t>Gestionar la formalización jurídica y constitución legal de las asociaciones.</t>
  </si>
  <si>
    <t>A1.5</t>
  </si>
  <si>
    <t>Co-diseñar el modelo de operación y gobernanza de la infraestructura compartida.</t>
  </si>
  <si>
    <t>A1.6</t>
  </si>
  <si>
    <t>Dictar el taller de capacidades administrativas, contables y jurídicas bajo el enfoque "aprende haciendo".</t>
  </si>
  <si>
    <t>A2.1</t>
  </si>
  <si>
    <t>Estructurar el modelo de negocio asociativo y la matriz de costos textiles.</t>
  </si>
  <si>
    <t>A2.2</t>
  </si>
  <si>
    <t>Desarrollar la identidad visual, marca propia y marketing mix de los nodos.</t>
  </si>
  <si>
    <t>A2.3</t>
  </si>
  <si>
    <t>Diseñar la estrategia de ventas y entrenar a los asociados en pitch comercial B2B.</t>
  </si>
  <si>
    <t>A3.1</t>
  </si>
  <si>
    <t>Implementar una estrategia de relacionamiento empresarial y gestión de alianzas comerciales.</t>
  </si>
  <si>
    <t>A3.2</t>
  </si>
  <si>
    <t>Gestionar la participación de las asociaciones en ferias comerciales departamentales o regionales.</t>
  </si>
  <si>
    <t>A3.3</t>
  </si>
  <si>
    <t>Realizar el evento oficial de clausura, rendición de cuentas y certificación comunitaria del programa.</t>
  </si>
  <si>
    <t>Código actividad</t>
  </si>
  <si>
    <t>Cantidad</t>
  </si>
  <si>
    <t>Unidad</t>
  </si>
  <si>
    <t>Tipo de medio exigido</t>
  </si>
  <si>
    <t>E1.1.1</t>
  </si>
  <si>
    <t>Memorias de eventos de socialización validadas</t>
  </si>
  <si>
    <t>Memorias</t>
  </si>
  <si>
    <t>Memoria (PDF)</t>
  </si>
  <si>
    <t>E1.1.2</t>
  </si>
  <si>
    <t>Informe de línea base</t>
  </si>
  <si>
    <t>Informe</t>
  </si>
  <si>
    <t>Informe (PDF)</t>
  </si>
  <si>
    <t>E1.2.1</t>
  </si>
  <si>
    <t>Mapas de expectativas y liderazgos consolidados</t>
  </si>
  <si>
    <t>Mapas</t>
  </si>
  <si>
    <t>Documento (PDF)</t>
  </si>
  <si>
    <t>E1.3.1</t>
  </si>
  <si>
    <t>Actas de selección de la figura jurídica idónea suscritas por los asociados</t>
  </si>
  <si>
    <t>Actas</t>
  </si>
  <si>
    <t>Acta firmada</t>
  </si>
  <si>
    <t>E1.4.1</t>
  </si>
  <si>
    <t>Estatutos asociativos aprobados</t>
  </si>
  <si>
    <t>Estatutos</t>
  </si>
  <si>
    <t>E1.4.2</t>
  </si>
  <si>
    <t>RUT-NIT activos (DIAN)</t>
  </si>
  <si>
    <t>RUT</t>
  </si>
  <si>
    <t>Certificado (PDF)</t>
  </si>
  <si>
    <t>E1.4.3</t>
  </si>
  <si>
    <t>Certificados de Existencia y Representación Legal (Cámara de Comercio)</t>
  </si>
  <si>
    <t>Certificados</t>
  </si>
  <si>
    <t>E1.5.1</t>
  </si>
  <si>
    <t>Manuales de operación y reglamentos de convivencia para el uso de la maquinaria del CedeTextil</t>
  </si>
  <si>
    <t>Manuales</t>
  </si>
  <si>
    <t>E1.6.1</t>
  </si>
  <si>
    <t>Cartillas didácticas de gestión administrativa entregadas</t>
  </si>
  <si>
    <t>Cartillas</t>
  </si>
  <si>
    <t>E1.6.2</t>
  </si>
  <si>
    <t>Registro de asociados entrenados</t>
  </si>
  <si>
    <t>Asociados</t>
  </si>
  <si>
    <t>Listado de asistencia</t>
  </si>
  <si>
    <t>E2.1.1</t>
  </si>
  <si>
    <t>Modelos de negocio (Lean Canvas) y matrices financieras de costos y tarifas de maquila</t>
  </si>
  <si>
    <t>Modelos de negocio</t>
  </si>
  <si>
    <t>E2.2.1</t>
  </si>
  <si>
    <t>Manuales de identidad visual corporativa (logos aplicados)</t>
  </si>
  <si>
    <t>E2.2.2</t>
  </si>
  <si>
    <t>Kits de identidad física (camisetas y gorras)</t>
  </si>
  <si>
    <t>Kits</t>
  </si>
  <si>
    <t>Registro fotográfico</t>
  </si>
  <si>
    <t>E2.3.1</t>
  </si>
  <si>
    <t>Planes de comercialización táctica</t>
  </si>
  <si>
    <t>Planes</t>
  </si>
  <si>
    <t>E2.3.2</t>
  </si>
  <si>
    <t>Portafolios de servicios B2B formalizados (físico y digital)</t>
  </si>
  <si>
    <t>Portafolios</t>
  </si>
  <si>
    <t>E3.1.1</t>
  </si>
  <si>
    <t>Registro de visitas empresariales ejecutadas</t>
  </si>
  <si>
    <t>Visitas</t>
  </si>
  <si>
    <t>Listado de visitas</t>
  </si>
  <si>
    <t>E3.1.2</t>
  </si>
  <si>
    <t>Cartas de Intención de Compra o Acuerdos de Encadenamiento firmados (mínimo)</t>
  </si>
  <si>
    <t>Cartas</t>
  </si>
  <si>
    <t>Documento firmado (PDF)</t>
  </si>
  <si>
    <t>E3.2.1</t>
  </si>
  <si>
    <t>Memorias técnicas de participación en eventos feriales de la región Caribe con balance de contactos comerciales calificados</t>
  </si>
  <si>
    <t>E3.3.1</t>
  </si>
  <si>
    <t>Memoria general de clausura</t>
  </si>
  <si>
    <t>Memoria</t>
  </si>
  <si>
    <t>E3.3.2</t>
  </si>
  <si>
    <t>Personas constituyentes de las asociaciones certificadas legalmente (100%)</t>
  </si>
  <si>
    <t>%</t>
  </si>
  <si>
    <t>Listado de certificados</t>
  </si>
  <si>
    <t>Meta</t>
  </si>
  <si>
    <t>Línea base</t>
  </si>
  <si>
    <t>IND-01</t>
  </si>
  <si>
    <t>Número de asociaciones constituidas legalmente</t>
  </si>
  <si>
    <t>asociaciones</t>
  </si>
  <si>
    <t>IND-02</t>
  </si>
  <si>
    <t>Número de modelos de negocio consolidades</t>
  </si>
  <si>
    <t>modelos de negocio</t>
  </si>
  <si>
    <t>IND-03</t>
  </si>
  <si>
    <t>Número de identidades de marca</t>
  </si>
  <si>
    <t>identidades de marca</t>
  </si>
  <si>
    <t>IND-04</t>
  </si>
  <si>
    <t>Número de intenciones de compra</t>
  </si>
  <si>
    <t>intenciones de compra</t>
  </si>
  <si>
    <t>Código rubro</t>
  </si>
  <si>
    <t>Rubro</t>
  </si>
  <si>
    <t>Valor asignado</t>
  </si>
  <si>
    <t>R01</t>
  </si>
  <si>
    <t>Personal</t>
  </si>
  <si>
    <t>R02</t>
  </si>
  <si>
    <t>Consultor</t>
  </si>
  <si>
    <t>R03</t>
  </si>
  <si>
    <t>Subsidio arriendo</t>
  </si>
  <si>
    <t>R04</t>
  </si>
  <si>
    <t>Promoción y divulgación</t>
  </si>
  <si>
    <t>R05</t>
  </si>
  <si>
    <t>Alistamiento</t>
  </si>
  <si>
    <t>R06</t>
  </si>
  <si>
    <t>Caracterización</t>
  </si>
  <si>
    <t>R07</t>
  </si>
  <si>
    <t>Acompañamiento</t>
  </si>
  <si>
    <t>R08</t>
  </si>
  <si>
    <t>Formación</t>
  </si>
  <si>
    <t>R09</t>
  </si>
  <si>
    <t>Capital semilla</t>
  </si>
  <si>
    <t>R10</t>
  </si>
  <si>
    <t>Viáticos</t>
  </si>
  <si>
    <t>R11</t>
  </si>
  <si>
    <t>Varios</t>
  </si>
  <si>
    <t>R12</t>
  </si>
  <si>
    <t>Transporte</t>
  </si>
  <si>
    <t>R13</t>
  </si>
  <si>
    <t>Suministros</t>
  </si>
  <si>
    <t>R14</t>
  </si>
  <si>
    <t>Oficina</t>
  </si>
  <si>
    <t>R15</t>
  </si>
  <si>
    <t>Dotación</t>
  </si>
  <si>
    <t>Mes 1 (2026-10)</t>
  </si>
  <si>
    <t>Mes 2 (2026-11)</t>
  </si>
  <si>
    <t>Mes 3 (2026-12)</t>
  </si>
  <si>
    <t>Mes 4 (2027-01)</t>
  </si>
  <si>
    <t>Total</t>
  </si>
  <si>
    <t>Control</t>
  </si>
  <si>
    <t>Rubros</t>
  </si>
  <si>
    <t>Unidades</t>
  </si>
  <si>
    <t>LE01 - Empleabilidad</t>
  </si>
  <si>
    <t>Medellín (Antioquia)</t>
  </si>
  <si>
    <t>Personas</t>
  </si>
  <si>
    <t>LE02 - Emprendimiento</t>
  </si>
  <si>
    <t>Barranquilla (Atlántico)</t>
  </si>
  <si>
    <t>LE03 - Productividad</t>
  </si>
  <si>
    <t>Bogotá D.C. (Bogotá D.C.)</t>
  </si>
  <si>
    <t>LE04 - Cultural</t>
  </si>
  <si>
    <t>Cartagena de Indias (Bolívar)</t>
  </si>
  <si>
    <t>LE05 - Social</t>
  </si>
  <si>
    <t>Manizales (Caldas)</t>
  </si>
  <si>
    <t>Mapa</t>
  </si>
  <si>
    <t>LE06 - Cívico-político</t>
  </si>
  <si>
    <t>Bucaramanga (Santander)</t>
  </si>
  <si>
    <t>Acta</t>
  </si>
  <si>
    <t>LE07 - Método Muttu</t>
  </si>
  <si>
    <t>Cali (Valle del Cauca)</t>
  </si>
  <si>
    <t>Estatuto</t>
  </si>
  <si>
    <t>LE08 - Ambiental</t>
  </si>
  <si>
    <t>Certificado</t>
  </si>
  <si>
    <t>Documento</t>
  </si>
  <si>
    <t>Registro</t>
  </si>
  <si>
    <t>Kit</t>
  </si>
  <si>
    <t>Taller</t>
  </si>
  <si>
    <t>Jornada</t>
  </si>
  <si>
    <t>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</si>
</sst>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s="1">
        <v>46300</v>
      </c>
    </row>
    <row r="7" spans="1:2" x14ac:dyDescent="0.25">
      <c r="A7" t="s">
        <v>20</v>
      </c>
      <c r="B7" s="1">
        <v>46416</v>
      </c>
    </row>
    <row r="8" spans="1:2" x14ac:dyDescent="0.25">
      <c r="A8" t="s">
        <v>21</v>
      </c>
      <c r="B8">
        <v>177360000</v>
      </c>
    </row>
    <row r="9" spans="1:2" x14ac:dyDescent="0.25">
      <c r="A9" t="s">
        <v>22</v>
      </c>
      <c r="B9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11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7" x14ac:dyDescent="0.25">
      <c r="A1" t="s">
        <v>11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 t="s">
        <v>36</v>
      </c>
      <c r="B2" t="s">
        <v>24</v>
      </c>
      <c r="C2" t="s">
        <v>37</v>
      </c>
      <c r="D2">
        <v>1</v>
      </c>
      <c r="E2">
        <v>1</v>
      </c>
      <c r="F2" t="s">
        <v>38</v>
      </c>
    </row>
    <row r="3" spans="1:7" x14ac:dyDescent="0.25">
      <c r="A3" t="s">
        <v>39</v>
      </c>
      <c r="B3" t="s">
        <v>24</v>
      </c>
      <c r="C3" t="s">
        <v>40</v>
      </c>
      <c r="D3">
        <v>2</v>
      </c>
      <c r="E3">
        <v>2</v>
      </c>
      <c r="F3" t="s">
        <v>38</v>
      </c>
    </row>
    <row r="4" spans="1:7" x14ac:dyDescent="0.25">
      <c r="A4" t="s">
        <v>41</v>
      </c>
      <c r="B4" t="s">
        <v>24</v>
      </c>
      <c r="C4" t="s">
        <v>42</v>
      </c>
      <c r="D4">
        <v>3</v>
      </c>
      <c r="E4">
        <v>3</v>
      </c>
      <c r="F4" t="s">
        <v>38</v>
      </c>
    </row>
    <row r="5" spans="1:7" x14ac:dyDescent="0.25">
      <c r="A5" t="s">
        <v>43</v>
      </c>
      <c r="B5" t="s">
        <v>24</v>
      </c>
      <c r="C5" t="s">
        <v>44</v>
      </c>
      <c r="D5">
        <v>3</v>
      </c>
      <c r="E5">
        <v>6</v>
      </c>
      <c r="F5" t="s">
        <v>38</v>
      </c>
    </row>
    <row r="6" spans="1:7" x14ac:dyDescent="0.25">
      <c r="A6" t="s">
        <v>45</v>
      </c>
      <c r="B6" t="s">
        <v>24</v>
      </c>
      <c r="C6" t="s">
        <v>46</v>
      </c>
      <c r="D6">
        <v>4</v>
      </c>
      <c r="E6">
        <v>5</v>
      </c>
      <c r="F6" t="s">
        <v>38</v>
      </c>
    </row>
    <row r="7" spans="1:7" x14ac:dyDescent="0.25">
      <c r="A7" t="s">
        <v>47</v>
      </c>
      <c r="B7" t="s">
        <v>24</v>
      </c>
      <c r="C7" t="s">
        <v>48</v>
      </c>
      <c r="D7">
        <v>6</v>
      </c>
      <c r="E7">
        <v>7</v>
      </c>
      <c r="F7" t="s">
        <v>38</v>
      </c>
    </row>
    <row r="8" spans="1:7" x14ac:dyDescent="0.25">
      <c r="A8" t="s">
        <v>49</v>
      </c>
      <c r="B8" t="s">
        <v>26</v>
      </c>
      <c r="C8" t="s">
        <v>50</v>
      </c>
      <c r="D8">
        <v>2</v>
      </c>
      <c r="E8">
        <v>3</v>
      </c>
      <c r="F8" t="s">
        <v>38</v>
      </c>
    </row>
    <row r="9" spans="1:7" x14ac:dyDescent="0.25">
      <c r="A9" t="s">
        <v>51</v>
      </c>
      <c r="B9" t="s">
        <v>26</v>
      </c>
      <c r="C9" t="s">
        <v>52</v>
      </c>
      <c r="D9">
        <v>4</v>
      </c>
      <c r="E9">
        <v>5</v>
      </c>
      <c r="F9" t="s">
        <v>38</v>
      </c>
    </row>
    <row r="10" spans="1:7" x14ac:dyDescent="0.25">
      <c r="A10" t="s">
        <v>53</v>
      </c>
      <c r="B10" t="s">
        <v>26</v>
      </c>
      <c r="C10" t="s">
        <v>54</v>
      </c>
      <c r="D10">
        <v>6</v>
      </c>
      <c r="E10">
        <v>7</v>
      </c>
      <c r="F10" t="s">
        <v>38</v>
      </c>
    </row>
    <row r="11" spans="1:7" x14ac:dyDescent="0.25">
      <c r="A11" t="s">
        <v>55</v>
      </c>
      <c r="B11" t="s">
        <v>28</v>
      </c>
      <c r="C11" t="s">
        <v>56</v>
      </c>
      <c r="D11">
        <v>6</v>
      </c>
      <c r="E11">
        <v>16</v>
      </c>
      <c r="F11" t="s">
        <v>38</v>
      </c>
    </row>
    <row r="12" spans="1:7" x14ac:dyDescent="0.25">
      <c r="A12" t="s">
        <v>57</v>
      </c>
      <c r="B12" t="s">
        <v>28</v>
      </c>
      <c r="C12" t="s">
        <v>58</v>
      </c>
      <c r="D12">
        <v>11</v>
      </c>
      <c r="E12">
        <v>16</v>
      </c>
      <c r="F12" t="s">
        <v>38</v>
      </c>
    </row>
    <row r="13" spans="1:7" x14ac:dyDescent="0.25">
      <c r="A13" t="s">
        <v>59</v>
      </c>
      <c r="B13" t="s">
        <v>28</v>
      </c>
      <c r="C13" t="s">
        <v>60</v>
      </c>
      <c r="D13">
        <v>11</v>
      </c>
      <c r="E13">
        <v>12</v>
      </c>
      <c r="F13" t="s">
        <v>38</v>
      </c>
    </row>
  </sheetData>
  <dataValidations count="3">
    <dataValidation type="list" allowBlank="1" sqref="B2:B1001">
      <formula1>='3. Objetivos'!$A$2:$A$200</formula1>
    </dataValidation>
    <dataValidation type="whole" operator="greaterThanOrEqual" allowBlank="1" sqref="D2:E1001">
      <formula1>1</formula1>
    </dataValidation>
    <dataValidation type="decimal" operator="greaterThanOrEqual" allowBlank="1" sqref="G2:G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11</v>
      </c>
      <c r="B1" t="s">
        <v>61</v>
      </c>
      <c r="C1" t="s">
        <v>23</v>
      </c>
      <c r="D1" t="s">
        <v>62</v>
      </c>
      <c r="E1" t="s">
        <v>63</v>
      </c>
      <c r="F1" t="s">
        <v>64</v>
      </c>
    </row>
    <row r="2" spans="1:6" x14ac:dyDescent="0.25">
      <c r="A2" t="s">
        <v>65</v>
      </c>
      <c r="B2" t="s">
        <v>36</v>
      </c>
      <c r="C2" t="s">
        <v>66</v>
      </c>
      <c r="D2">
        <v>2</v>
      </c>
      <c r="E2" t="s">
        <v>67</v>
      </c>
      <c r="F2" t="s">
        <v>68</v>
      </c>
    </row>
    <row r="3" spans="1:6" x14ac:dyDescent="0.25">
      <c r="A3" t="s">
        <v>69</v>
      </c>
      <c r="B3" t="s">
        <v>36</v>
      </c>
      <c r="C3" t="s">
        <v>70</v>
      </c>
      <c r="D3">
        <v>1</v>
      </c>
      <c r="E3" t="s">
        <v>71</v>
      </c>
      <c r="F3" t="s">
        <v>72</v>
      </c>
    </row>
    <row r="4" spans="1:6" x14ac:dyDescent="0.25">
      <c r="A4" t="s">
        <v>73</v>
      </c>
      <c r="B4" t="s">
        <v>39</v>
      </c>
      <c r="C4" t="s">
        <v>74</v>
      </c>
      <c r="D4">
        <v>2</v>
      </c>
      <c r="E4" t="s">
        <v>75</v>
      </c>
      <c r="F4" t="s">
        <v>76</v>
      </c>
    </row>
    <row r="5" spans="1:6" x14ac:dyDescent="0.25">
      <c r="A5" t="s">
        <v>77</v>
      </c>
      <c r="B5" t="s">
        <v>41</v>
      </c>
      <c r="C5" t="s">
        <v>78</v>
      </c>
      <c r="D5">
        <v>2</v>
      </c>
      <c r="E5" t="s">
        <v>79</v>
      </c>
      <c r="F5" t="s">
        <v>80</v>
      </c>
    </row>
    <row r="6" spans="1:6" x14ac:dyDescent="0.25">
      <c r="A6" t="s">
        <v>81</v>
      </c>
      <c r="B6" t="s">
        <v>43</v>
      </c>
      <c r="C6" t="s">
        <v>82</v>
      </c>
      <c r="D6">
        <v>2</v>
      </c>
      <c r="E6" t="s">
        <v>83</v>
      </c>
      <c r="F6" t="s">
        <v>76</v>
      </c>
    </row>
    <row r="7" spans="1:6" x14ac:dyDescent="0.25">
      <c r="A7" t="s">
        <v>84</v>
      </c>
      <c r="B7" t="s">
        <v>43</v>
      </c>
      <c r="C7" t="s">
        <v>85</v>
      </c>
      <c r="D7">
        <v>2</v>
      </c>
      <c r="E7" t="s">
        <v>86</v>
      </c>
      <c r="F7" t="s">
        <v>87</v>
      </c>
    </row>
    <row r="8" spans="1:6" x14ac:dyDescent="0.25">
      <c r="A8" t="s">
        <v>88</v>
      </c>
      <c r="B8" t="s">
        <v>43</v>
      </c>
      <c r="C8" t="s">
        <v>89</v>
      </c>
      <c r="D8">
        <v>2</v>
      </c>
      <c r="E8" t="s">
        <v>90</v>
      </c>
      <c r="F8" t="s">
        <v>87</v>
      </c>
    </row>
    <row r="9" spans="1:6" x14ac:dyDescent="0.25">
      <c r="A9" t="s">
        <v>91</v>
      </c>
      <c r="B9" t="s">
        <v>45</v>
      </c>
      <c r="C9" t="s">
        <v>92</v>
      </c>
      <c r="D9">
        <v>2</v>
      </c>
      <c r="E9" t="s">
        <v>93</v>
      </c>
      <c r="F9" t="s">
        <v>76</v>
      </c>
    </row>
    <row r="10" spans="1:6" x14ac:dyDescent="0.25">
      <c r="A10" t="s">
        <v>94</v>
      </c>
      <c r="B10" t="s">
        <v>47</v>
      </c>
      <c r="C10" t="s">
        <v>95</v>
      </c>
      <c r="D10">
        <v>2</v>
      </c>
      <c r="E10" t="s">
        <v>96</v>
      </c>
      <c r="F10" t="s">
        <v>76</v>
      </c>
    </row>
    <row r="11" spans="1:6" x14ac:dyDescent="0.25">
      <c r="A11" t="s">
        <v>97</v>
      </c>
      <c r="B11" t="s">
        <v>47</v>
      </c>
      <c r="C11" t="s">
        <v>98</v>
      </c>
      <c r="D11">
        <v>50</v>
      </c>
      <c r="E11" t="s">
        <v>99</v>
      </c>
      <c r="F11" t="s">
        <v>100</v>
      </c>
    </row>
    <row r="12" spans="1:6" x14ac:dyDescent="0.25">
      <c r="A12" t="s">
        <v>101</v>
      </c>
      <c r="B12" t="s">
        <v>49</v>
      </c>
      <c r="C12" t="s">
        <v>102</v>
      </c>
      <c r="D12">
        <v>2</v>
      </c>
      <c r="E12" t="s">
        <v>103</v>
      </c>
      <c r="F12" t="s">
        <v>76</v>
      </c>
    </row>
    <row r="13" spans="1:6" x14ac:dyDescent="0.25">
      <c r="A13" t="s">
        <v>104</v>
      </c>
      <c r="B13" t="s">
        <v>51</v>
      </c>
      <c r="C13" t="s">
        <v>105</v>
      </c>
      <c r="D13">
        <v>2</v>
      </c>
      <c r="E13" t="s">
        <v>93</v>
      </c>
      <c r="F13" t="s">
        <v>76</v>
      </c>
    </row>
    <row r="14" spans="1:6" x14ac:dyDescent="0.25">
      <c r="A14" t="s">
        <v>106</v>
      </c>
      <c r="B14" t="s">
        <v>51</v>
      </c>
      <c r="C14" t="s">
        <v>107</v>
      </c>
      <c r="D14">
        <v>50</v>
      </c>
      <c r="E14" t="s">
        <v>108</v>
      </c>
      <c r="F14" t="s">
        <v>109</v>
      </c>
    </row>
    <row r="15" spans="1:6" x14ac:dyDescent="0.25">
      <c r="A15" t="s">
        <v>110</v>
      </c>
      <c r="B15" t="s">
        <v>53</v>
      </c>
      <c r="C15" t="s">
        <v>111</v>
      </c>
      <c r="D15">
        <v>2</v>
      </c>
      <c r="E15" t="s">
        <v>112</v>
      </c>
      <c r="F15" t="s">
        <v>76</v>
      </c>
    </row>
    <row r="16" spans="1:6" x14ac:dyDescent="0.25">
      <c r="A16" t="s">
        <v>113</v>
      </c>
      <c r="B16" t="s">
        <v>53</v>
      </c>
      <c r="C16" t="s">
        <v>114</v>
      </c>
      <c r="D16">
        <v>2</v>
      </c>
      <c r="E16" t="s">
        <v>115</v>
      </c>
      <c r="F16" t="s">
        <v>76</v>
      </c>
    </row>
    <row r="17" spans="1:6" x14ac:dyDescent="0.25">
      <c r="A17" t="s">
        <v>116</v>
      </c>
      <c r="B17" t="s">
        <v>55</v>
      </c>
      <c r="C17" t="s">
        <v>117</v>
      </c>
      <c r="D17">
        <v>30</v>
      </c>
      <c r="E17" t="s">
        <v>118</v>
      </c>
      <c r="F17" t="s">
        <v>119</v>
      </c>
    </row>
    <row r="18" spans="1:6" x14ac:dyDescent="0.25">
      <c r="A18" t="s">
        <v>120</v>
      </c>
      <c r="B18" t="s">
        <v>55</v>
      </c>
      <c r="C18" t="s">
        <v>121</v>
      </c>
      <c r="D18">
        <v>2</v>
      </c>
      <c r="E18" t="s">
        <v>122</v>
      </c>
      <c r="F18" t="s">
        <v>123</v>
      </c>
    </row>
    <row r="19" spans="1:6" x14ac:dyDescent="0.25">
      <c r="A19" t="s">
        <v>124</v>
      </c>
      <c r="B19" t="s">
        <v>57</v>
      </c>
      <c r="C19" t="s">
        <v>125</v>
      </c>
      <c r="D19">
        <v>2</v>
      </c>
      <c r="E19" t="s">
        <v>67</v>
      </c>
      <c r="F19" t="s">
        <v>68</v>
      </c>
    </row>
    <row r="20" spans="1:6" x14ac:dyDescent="0.25">
      <c r="A20" t="s">
        <v>126</v>
      </c>
      <c r="B20" t="s">
        <v>59</v>
      </c>
      <c r="C20" t="s">
        <v>127</v>
      </c>
      <c r="D20">
        <v>1</v>
      </c>
      <c r="E20" t="s">
        <v>128</v>
      </c>
      <c r="F20" t="s">
        <v>68</v>
      </c>
    </row>
    <row r="21" spans="1:6" x14ac:dyDescent="0.25">
      <c r="A21" t="s">
        <v>129</v>
      </c>
      <c r="B21" t="s">
        <v>59</v>
      </c>
      <c r="C21" t="s">
        <v>130</v>
      </c>
      <c r="D21">
        <v>100</v>
      </c>
      <c r="E21" t="s">
        <v>131</v>
      </c>
      <c r="F21" t="s">
        <v>132</v>
      </c>
    </row>
  </sheetData>
  <dataValidations count="3">
    <dataValidation type="list" allowBlank="1" sqref="B2:B1001">
      <formula1>='4. Actividades'!$A$2:$A$200</formula1>
    </dataValidation>
    <dataValidation type="decimal" operator="greaterThan" allowBlank="1" sqref="D2:D1001">
      <formula1>0</formula1>
    </dataValidation>
    <dataValidation type="list" allowBlank="1" sqref="E2:E1001">
      <formula1>=Unidades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11</v>
      </c>
      <c r="B1" t="s">
        <v>30</v>
      </c>
      <c r="C1" t="s">
        <v>31</v>
      </c>
      <c r="D1" t="s">
        <v>133</v>
      </c>
      <c r="E1" t="s">
        <v>63</v>
      </c>
      <c r="F1" t="s">
        <v>134</v>
      </c>
    </row>
    <row r="2" spans="1:6" x14ac:dyDescent="0.25">
      <c r="A2" t="s">
        <v>135</v>
      </c>
      <c r="B2" t="s">
        <v>24</v>
      </c>
      <c r="C2" t="s">
        <v>136</v>
      </c>
      <c r="D2">
        <v>2</v>
      </c>
      <c r="E2" t="s">
        <v>137</v>
      </c>
    </row>
    <row r="3" spans="1:6" x14ac:dyDescent="0.25">
      <c r="A3" t="s">
        <v>138</v>
      </c>
      <c r="B3" t="s">
        <v>26</v>
      </c>
      <c r="C3" t="s">
        <v>139</v>
      </c>
      <c r="D3">
        <v>2</v>
      </c>
      <c r="E3" t="s">
        <v>140</v>
      </c>
    </row>
    <row r="4" spans="1:6" x14ac:dyDescent="0.25">
      <c r="A4" t="s">
        <v>141</v>
      </c>
      <c r="B4" t="s">
        <v>26</v>
      </c>
      <c r="C4" t="s">
        <v>142</v>
      </c>
      <c r="D4">
        <v>2</v>
      </c>
      <c r="E4" t="s">
        <v>143</v>
      </c>
    </row>
    <row r="5" spans="1:6" x14ac:dyDescent="0.25">
      <c r="A5" t="s">
        <v>144</v>
      </c>
      <c r="B5" t="s">
        <v>28</v>
      </c>
      <c r="C5" t="s">
        <v>145</v>
      </c>
      <c r="D5">
        <v>2</v>
      </c>
      <c r="E5" t="s">
        <v>146</v>
      </c>
    </row>
  </sheetData>
  <dataValidations count="2">
    <dataValidation type="list" allowBlank="1" sqref="B2:B1001">
      <formula1>='3. Objetivos'!$A$2:$A$200</formula1>
    </dataValidation>
    <dataValidation type="decimal" operator="greaterThan" allowBlank="1" sqref="D2:D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x14ac:dyDescent="0.25">
      <c r="A1" t="s">
        <v>147</v>
      </c>
      <c r="B1" t="s">
        <v>148</v>
      </c>
      <c r="C1" t="s">
        <v>149</v>
      </c>
    </row>
    <row r="2" spans="1:3" x14ac:dyDescent="0.25">
      <c r="A2" t="s">
        <v>150</v>
      </c>
      <c r="B2" t="s">
        <v>151</v>
      </c>
      <c r="C2">
        <v>59500000</v>
      </c>
    </row>
    <row r="3" spans="1:3" x14ac:dyDescent="0.25">
      <c r="A3" t="s">
        <v>152</v>
      </c>
      <c r="B3" t="s">
        <v>153</v>
      </c>
      <c r="C3">
        <v>0</v>
      </c>
    </row>
    <row r="4" spans="1:3" x14ac:dyDescent="0.25">
      <c r="A4" t="s">
        <v>154</v>
      </c>
      <c r="B4" t="s">
        <v>155</v>
      </c>
      <c r="C4">
        <v>0</v>
      </c>
    </row>
    <row r="5" spans="1:3" x14ac:dyDescent="0.25">
      <c r="A5" t="s">
        <v>156</v>
      </c>
      <c r="B5" t="s">
        <v>157</v>
      </c>
      <c r="C5">
        <v>34000000</v>
      </c>
    </row>
    <row r="6" spans="1:3" x14ac:dyDescent="0.25">
      <c r="A6" t="s">
        <v>158</v>
      </c>
      <c r="B6" t="s">
        <v>159</v>
      </c>
      <c r="C6">
        <v>0</v>
      </c>
    </row>
    <row r="7" spans="1:3" x14ac:dyDescent="0.25">
      <c r="A7" t="s">
        <v>160</v>
      </c>
      <c r="B7" t="s">
        <v>161</v>
      </c>
      <c r="C7">
        <v>1440000</v>
      </c>
    </row>
    <row r="8" spans="1:3" x14ac:dyDescent="0.25">
      <c r="A8" t="s">
        <v>162</v>
      </c>
      <c r="B8" t="s">
        <v>163</v>
      </c>
      <c r="C8">
        <v>0</v>
      </c>
    </row>
    <row r="9" spans="1:3" x14ac:dyDescent="0.25">
      <c r="A9" t="s">
        <v>164</v>
      </c>
      <c r="B9" t="s">
        <v>165</v>
      </c>
      <c r="C9">
        <v>45000000</v>
      </c>
    </row>
    <row r="10" spans="1:3" x14ac:dyDescent="0.25">
      <c r="A10" t="s">
        <v>166</v>
      </c>
      <c r="B10" t="s">
        <v>167</v>
      </c>
      <c r="C10">
        <v>0</v>
      </c>
    </row>
    <row r="11" spans="1:3" x14ac:dyDescent="0.25">
      <c r="A11" t="s">
        <v>168</v>
      </c>
      <c r="B11" t="s">
        <v>169</v>
      </c>
      <c r="C11">
        <v>0</v>
      </c>
    </row>
    <row r="12" spans="1:3" x14ac:dyDescent="0.25">
      <c r="A12" t="s">
        <v>170</v>
      </c>
      <c r="B12" t="s">
        <v>171</v>
      </c>
      <c r="C12">
        <v>300000</v>
      </c>
    </row>
    <row r="13" spans="1:3" x14ac:dyDescent="0.25">
      <c r="A13" t="s">
        <v>172</v>
      </c>
      <c r="B13" t="s">
        <v>173</v>
      </c>
      <c r="C13">
        <v>24000000</v>
      </c>
    </row>
    <row r="14" spans="1:3" x14ac:dyDescent="0.25">
      <c r="A14" t="s">
        <v>174</v>
      </c>
      <c r="B14" t="s">
        <v>175</v>
      </c>
      <c r="C14">
        <v>12800000</v>
      </c>
    </row>
    <row r="15" spans="1:3" x14ac:dyDescent="0.25">
      <c r="A15" t="s">
        <v>176</v>
      </c>
      <c r="B15" t="s">
        <v>177</v>
      </c>
      <c r="C15">
        <v>0</v>
      </c>
    </row>
    <row r="16" spans="1:3" x14ac:dyDescent="0.25">
      <c r="A16" t="s">
        <v>178</v>
      </c>
      <c r="B16" t="s">
        <v>179</v>
      </c>
      <c r="C16">
        <v>320000</v>
      </c>
    </row>
  </sheetData>
  <dataValidations count="2">
    <dataValidation type="list" allowBlank="1" sqref="A2:A1001">
      <formula1>=Rubros</formula1>
    </dataValidation>
    <dataValidation type="decimal" operator="greaterThanOrEqual" allowBlank="1" sqref="C2:C10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8" x14ac:dyDescent="0.25">
      <c r="A1" t="s">
        <v>147</v>
      </c>
      <c r="B1" t="s">
        <v>148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</row>
    <row r="2" spans="1:8" x14ac:dyDescent="0.25">
      <c r="A2" t="s">
        <v>150</v>
      </c>
      <c r="B2" t="s">
        <v>151</v>
      </c>
      <c r="C2">
        <v>14875000</v>
      </c>
      <c r="D2">
        <v>14875000</v>
      </c>
      <c r="E2">
        <v>14875000</v>
      </c>
      <c r="F2">
        <v>14875000</v>
      </c>
      <c r="G2">
        <f>SUM(C2:F2)</f>
        <v>59500000</v>
      </c>
      <c r="H2">
        <f>G2-VLOOKUP(A2,'7. Presupuesto'!A:C,3,FALSE)</f>
        <v>0</v>
      </c>
    </row>
    <row r="3" spans="1:8" x14ac:dyDescent="0.25">
      <c r="A3" t="s">
        <v>152</v>
      </c>
      <c r="B3" t="s">
        <v>153</v>
      </c>
      <c r="G3">
        <f>SUM(C3:F3)</f>
        <v>0</v>
      </c>
      <c r="H3">
        <f>G3-VLOOKUP(A3,'7. Presupuesto'!A:C,3,FALSE)</f>
        <v>0</v>
      </c>
    </row>
    <row r="4" spans="1:8" x14ac:dyDescent="0.25">
      <c r="A4" t="s">
        <v>154</v>
      </c>
      <c r="B4" t="s">
        <v>155</v>
      </c>
      <c r="G4">
        <f>SUM(C4:F4)</f>
        <v>0</v>
      </c>
      <c r="H4">
        <f>G4-VLOOKUP(A4,'7. Presupuesto'!A:C,3,FALSE)</f>
        <v>0</v>
      </c>
    </row>
    <row r="5" spans="1:8" x14ac:dyDescent="0.25">
      <c r="A5" t="s">
        <v>156</v>
      </c>
      <c r="B5" t="s">
        <v>157</v>
      </c>
      <c r="C5">
        <v>8500000</v>
      </c>
      <c r="D5">
        <v>8500000</v>
      </c>
      <c r="E5">
        <v>8500000</v>
      </c>
      <c r="F5">
        <v>8500000</v>
      </c>
      <c r="G5">
        <f>SUM(C5:F5)</f>
        <v>34000000</v>
      </c>
      <c r="H5">
        <f>G5-VLOOKUP(A5,'7. Presupuesto'!A:C,3,FALSE)</f>
        <v>0</v>
      </c>
    </row>
    <row r="6" spans="1:8" x14ac:dyDescent="0.25">
      <c r="A6" t="s">
        <v>158</v>
      </c>
      <c r="B6" t="s">
        <v>159</v>
      </c>
      <c r="G6">
        <f>SUM(C6:F6)</f>
        <v>0</v>
      </c>
      <c r="H6">
        <f>G6-VLOOKUP(A6,'7. Presupuesto'!A:C,3,FALSE)</f>
        <v>0</v>
      </c>
    </row>
    <row r="7" spans="1:8" x14ac:dyDescent="0.25">
      <c r="A7" t="s">
        <v>160</v>
      </c>
      <c r="B7" t="s">
        <v>161</v>
      </c>
      <c r="C7">
        <v>360000</v>
      </c>
      <c r="D7">
        <v>360000</v>
      </c>
      <c r="E7">
        <v>360000</v>
      </c>
      <c r="F7">
        <v>360000</v>
      </c>
      <c r="G7">
        <f>SUM(C7:F7)</f>
        <v>1440000</v>
      </c>
      <c r="H7">
        <f>G7-VLOOKUP(A7,'7. Presupuesto'!A:C,3,FALSE)</f>
        <v>0</v>
      </c>
    </row>
    <row r="8" spans="1:8" x14ac:dyDescent="0.25">
      <c r="A8" t="s">
        <v>162</v>
      </c>
      <c r="B8" t="s">
        <v>163</v>
      </c>
      <c r="G8">
        <f>SUM(C8:F8)</f>
        <v>0</v>
      </c>
      <c r="H8">
        <f>G8-VLOOKUP(A8,'7. Presupuesto'!A:C,3,FALSE)</f>
        <v>0</v>
      </c>
    </row>
    <row r="9" spans="1:8" x14ac:dyDescent="0.25">
      <c r="A9" t="s">
        <v>164</v>
      </c>
      <c r="B9" t="s">
        <v>165</v>
      </c>
      <c r="C9">
        <v>11250000</v>
      </c>
      <c r="D9">
        <v>11250000</v>
      </c>
      <c r="E9">
        <v>11250000</v>
      </c>
      <c r="F9">
        <v>11250000</v>
      </c>
      <c r="G9">
        <f>SUM(C9:F9)</f>
        <v>45000000</v>
      </c>
      <c r="H9">
        <f>G9-VLOOKUP(A9,'7. Presupuesto'!A:C,3,FALSE)</f>
        <v>0</v>
      </c>
    </row>
    <row r="10" spans="1:8" x14ac:dyDescent="0.25">
      <c r="A10" t="s">
        <v>166</v>
      </c>
      <c r="B10" t="s">
        <v>167</v>
      </c>
      <c r="G10">
        <f>SUM(C10:F10)</f>
        <v>0</v>
      </c>
      <c r="H10">
        <f>G10-VLOOKUP(A10,'7. Presupuesto'!A:C,3,FALSE)</f>
        <v>0</v>
      </c>
    </row>
    <row r="11" spans="1:8" x14ac:dyDescent="0.25">
      <c r="A11" t="s">
        <v>168</v>
      </c>
      <c r="B11" t="s">
        <v>169</v>
      </c>
      <c r="G11">
        <f>SUM(C11:F11)</f>
        <v>0</v>
      </c>
      <c r="H11">
        <f>G11-VLOOKUP(A11,'7. Presupuesto'!A:C,3,FALSE)</f>
        <v>0</v>
      </c>
    </row>
    <row r="12" spans="1:8" x14ac:dyDescent="0.25">
      <c r="A12" t="s">
        <v>170</v>
      </c>
      <c r="B12" t="s">
        <v>171</v>
      </c>
      <c r="C12">
        <v>75000</v>
      </c>
      <c r="D12">
        <v>75000</v>
      </c>
      <c r="E12">
        <v>75000</v>
      </c>
      <c r="F12">
        <v>75000</v>
      </c>
      <c r="G12">
        <f>SUM(C12:F12)</f>
        <v>300000</v>
      </c>
      <c r="H12">
        <f>G12-VLOOKUP(A12,'7. Presupuesto'!A:C,3,FALSE)</f>
        <v>0</v>
      </c>
    </row>
    <row r="13" spans="1:8" x14ac:dyDescent="0.25">
      <c r="A13" t="s">
        <v>172</v>
      </c>
      <c r="B13" t="s">
        <v>173</v>
      </c>
      <c r="C13">
        <v>6000000</v>
      </c>
      <c r="D13">
        <v>6000000</v>
      </c>
      <c r="E13">
        <v>6000000</v>
      </c>
      <c r="F13">
        <v>6000000</v>
      </c>
      <c r="G13">
        <f>SUM(C13:F13)</f>
        <v>24000000</v>
      </c>
      <c r="H13">
        <f>G13-VLOOKUP(A13,'7. Presupuesto'!A:C,3,FALSE)</f>
        <v>0</v>
      </c>
    </row>
    <row r="14" spans="1:8" x14ac:dyDescent="0.25">
      <c r="A14" t="s">
        <v>174</v>
      </c>
      <c r="B14" t="s">
        <v>175</v>
      </c>
      <c r="C14">
        <v>3200000</v>
      </c>
      <c r="D14">
        <v>3200000</v>
      </c>
      <c r="E14">
        <v>3200000</v>
      </c>
      <c r="F14">
        <v>3200000</v>
      </c>
      <c r="G14">
        <f>SUM(C14:F14)</f>
        <v>12800000</v>
      </c>
      <c r="H14">
        <f>G14-VLOOKUP(A14,'7. Presupuesto'!A:C,3,FALSE)</f>
        <v>0</v>
      </c>
    </row>
    <row r="15" spans="1:8" x14ac:dyDescent="0.25">
      <c r="A15" t="s">
        <v>176</v>
      </c>
      <c r="B15" t="s">
        <v>177</v>
      </c>
      <c r="G15">
        <f>SUM(C15:F15)</f>
        <v>0</v>
      </c>
      <c r="H15">
        <f>G15-VLOOKUP(A15,'7. Presupuesto'!A:C,3,FALSE)</f>
        <v>0</v>
      </c>
    </row>
    <row r="16" spans="1:8" x14ac:dyDescent="0.25">
      <c r="A16" t="s">
        <v>178</v>
      </c>
      <c r="B16" t="s">
        <v>179</v>
      </c>
      <c r="C16">
        <v>80000</v>
      </c>
      <c r="D16">
        <v>80000</v>
      </c>
      <c r="E16">
        <v>80000</v>
      </c>
      <c r="F16">
        <v>80000</v>
      </c>
      <c r="G16">
        <f>SUM(C16:F16)</f>
        <v>320000</v>
      </c>
      <c r="H16">
        <f>G16-VLOOKUP(A16,'7. Presupuesto'!A:C,3,FALSE)</f>
        <v>0</v>
      </c>
    </row>
  </sheetData>
  <dataValidations count="1">
    <dataValidation type="list" allowBlank="1" sqref="A2:A1001">
      <formula1>=Rubros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t="s">
        <v>186</v>
      </c>
      <c r="B1" t="s">
        <v>15</v>
      </c>
      <c r="C1" t="s">
        <v>17</v>
      </c>
      <c r="D1" t="s">
        <v>187</v>
      </c>
    </row>
    <row r="2" spans="1:4" x14ac:dyDescent="0.25">
      <c r="A2" t="s">
        <v>150</v>
      </c>
      <c r="B2" t="s">
        <v>188</v>
      </c>
      <c r="C2" t="s">
        <v>189</v>
      </c>
      <c r="D2" t="s">
        <v>190</v>
      </c>
    </row>
    <row r="3" spans="1:4" x14ac:dyDescent="0.25">
      <c r="A3" t="s">
        <v>152</v>
      </c>
      <c r="B3" t="s">
        <v>191</v>
      </c>
      <c r="C3" t="s">
        <v>192</v>
      </c>
      <c r="D3" t="s">
        <v>187</v>
      </c>
    </row>
    <row r="4" spans="1:4" x14ac:dyDescent="0.25">
      <c r="A4" t="s">
        <v>154</v>
      </c>
      <c r="B4" t="s">
        <v>193</v>
      </c>
      <c r="C4" t="s">
        <v>194</v>
      </c>
      <c r="D4" t="s">
        <v>71</v>
      </c>
    </row>
    <row r="5" spans="1:4" x14ac:dyDescent="0.25">
      <c r="A5" t="s">
        <v>156</v>
      </c>
      <c r="B5" t="s">
        <v>195</v>
      </c>
      <c r="C5" t="s">
        <v>196</v>
      </c>
      <c r="D5" t="s">
        <v>128</v>
      </c>
    </row>
    <row r="6" spans="1:4" x14ac:dyDescent="0.25">
      <c r="A6" t="s">
        <v>158</v>
      </c>
      <c r="B6" t="s">
        <v>197</v>
      </c>
      <c r="C6" t="s">
        <v>198</v>
      </c>
      <c r="D6" t="s">
        <v>199</v>
      </c>
    </row>
    <row r="7" spans="1:4" x14ac:dyDescent="0.25">
      <c r="A7" t="s">
        <v>160</v>
      </c>
      <c r="B7" t="s">
        <v>200</v>
      </c>
      <c r="C7" t="s">
        <v>201</v>
      </c>
      <c r="D7" t="s">
        <v>202</v>
      </c>
    </row>
    <row r="8" spans="1:4" x14ac:dyDescent="0.25">
      <c r="A8" t="s">
        <v>162</v>
      </c>
      <c r="B8" t="s">
        <v>203</v>
      </c>
      <c r="C8" t="s">
        <v>204</v>
      </c>
      <c r="D8" t="s">
        <v>205</v>
      </c>
    </row>
    <row r="9" spans="1:4" x14ac:dyDescent="0.25">
      <c r="A9" t="s">
        <v>164</v>
      </c>
      <c r="B9" t="s">
        <v>206</v>
      </c>
      <c r="D9" t="s">
        <v>207</v>
      </c>
    </row>
    <row r="10" spans="1:4" x14ac:dyDescent="0.25">
      <c r="A10" t="s">
        <v>166</v>
      </c>
      <c r="D10" t="s">
        <v>86</v>
      </c>
    </row>
    <row r="11" spans="1:4" x14ac:dyDescent="0.25">
      <c r="A11" t="s">
        <v>168</v>
      </c>
      <c r="D11" t="s">
        <v>208</v>
      </c>
    </row>
    <row r="12" spans="1:4" x14ac:dyDescent="0.25">
      <c r="A12" t="s">
        <v>170</v>
      </c>
      <c r="D12" t="s">
        <v>209</v>
      </c>
    </row>
    <row r="13" spans="1:4" x14ac:dyDescent="0.25">
      <c r="A13" t="s">
        <v>172</v>
      </c>
      <c r="D13" t="s">
        <v>210</v>
      </c>
    </row>
    <row r="14" spans="1:4" x14ac:dyDescent="0.25">
      <c r="A14" t="s">
        <v>174</v>
      </c>
      <c r="D14" t="s">
        <v>211</v>
      </c>
    </row>
    <row r="15" spans="1:4" x14ac:dyDescent="0.25">
      <c r="A15" t="s">
        <v>176</v>
      </c>
      <c r="D15" t="s">
        <v>212</v>
      </c>
    </row>
    <row r="16" spans="1:4" x14ac:dyDescent="0.25">
      <c r="A16" t="s">
        <v>178</v>
      </c>
      <c r="D16" t="s">
        <v>213</v>
      </c>
    </row>
  </sheetData>
  <sheetProtection sheet="1" selectLockedCells="1" algorithmName="SHA-512" hashValue="uw7aB37KFjx4dosPZMvvgUQV+TcyGk7iv0zWPHXMOvGcw/q6mD6BBfKElxcnvsKmeRhwmLRB0idRCnX8/wu5DA==" saltValue="WErztuwImeZDMUF8HLo8K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Instrucciones</vt:lpstr>
      <vt:lpstr>2. Proyecto</vt:lpstr>
      <vt:lpstr>3. Objetivos</vt:lpstr>
      <vt:lpstr>4. Actividades</vt:lpstr>
      <vt:lpstr>5. Entregables</vt:lpstr>
      <vt:lpstr>6. Indicadores</vt:lpstr>
      <vt:lpstr>7. Presupuesto</vt:lpstr>
      <vt:lpstr>8. Programación</vt:lpstr>
      <vt:lpstr>9. 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Muttu Hub</dc:creator>
  <dc:title>Plantilla de proyecto PRY-2026-002</dc:title>
  <dc:subject/>
  <dc:description/>
  <cp:keywords/>
  <cp:category/>
  <cp:lastModifiedBy>Unknown</cp:lastModifiedBy>
  <dcterms:created xsi:type="dcterms:W3CDTF">2026-10-17T20:50:48Z</dcterms:created>
  <dcterms:modified xsi:type="dcterms:W3CDTF">2026-10-17T20:50:48Z</dcterms:modified>
</cp:coreProperties>
</file>